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ocnz-my.sharepoint.com/personal/ogansell_doc_govt_nz/Documents/R_projects/Shiny apps/BOAM_v3/"/>
    </mc:Choice>
  </mc:AlternateContent>
  <xr:revisionPtr revIDLastSave="2" documentId="8_{00B94057-C3F8-4FC1-9BAD-B27C4E1B50FF}" xr6:coauthVersionLast="47" xr6:coauthVersionMax="47" xr10:uidLastSave="{DD1F73B8-162B-4D68-892D-1B98A39BBC6F}"/>
  <bookViews>
    <workbookView xWindow="28680" yWindow="-105" windowWidth="29040" windowHeight="15720" tabRatio="500" xr2:uid="{00000000-000D-0000-FFFF-FFFF00000000}"/>
  </bookViews>
  <sheets>
    <sheet name="Comparis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8" i="1" l="1"/>
  <c r="I8" i="1" s="1"/>
  <c r="J8" i="1" s="1"/>
  <c r="G8" i="1"/>
  <c r="H7" i="1"/>
  <c r="I7" i="1" s="1"/>
  <c r="J7" i="1" s="1"/>
  <c r="G7" i="1"/>
  <c r="H6" i="1"/>
  <c r="I6" i="1" s="1"/>
  <c r="J6" i="1" s="1"/>
  <c r="G6" i="1"/>
  <c r="H5" i="1"/>
  <c r="I5" i="1" s="1"/>
  <c r="J5" i="1" s="1"/>
  <c r="G5" i="1"/>
  <c r="H4" i="1"/>
  <c r="I4" i="1" s="1"/>
  <c r="J4" i="1" s="1"/>
  <c r="G4" i="1"/>
  <c r="H3" i="1"/>
  <c r="I3" i="1" s="1"/>
  <c r="J3" i="1" s="1"/>
  <c r="G3" i="1"/>
  <c r="H2" i="1"/>
  <c r="I2" i="1" s="1"/>
  <c r="J2" i="1" s="1"/>
  <c r="G2" i="1"/>
  <c r="H12" i="1" l="1"/>
  <c r="G12" i="1"/>
  <c r="H16" i="1"/>
  <c r="G16" i="1"/>
  <c r="G11" i="1"/>
  <c r="H11" i="1"/>
  <c r="G15" i="1"/>
  <c r="H15" i="1"/>
</calcChain>
</file>

<file path=xl/sharedStrings.xml><?xml version="1.0" encoding="utf-8"?>
<sst xmlns="http://schemas.openxmlformats.org/spreadsheetml/2006/main" count="37" uniqueCount="27">
  <si>
    <t>Component</t>
  </si>
  <si>
    <t>Attribute</t>
  </si>
  <si>
    <t>Impact Mean</t>
  </si>
  <si>
    <t>Impact CI</t>
  </si>
  <si>
    <t>Offset Mean</t>
  </si>
  <si>
    <t>Offset CI</t>
  </si>
  <si>
    <t>NPBV Mean</t>
  </si>
  <si>
    <t>NPBV CI</t>
  </si>
  <si>
    <t>SE</t>
  </si>
  <si>
    <t>Weight</t>
  </si>
  <si>
    <t>Notes</t>
  </si>
  <si>
    <t>1.1 Floral diversity</t>
  </si>
  <si>
    <t>1.1a Diversity of indigenous vascular ground and epiphyte species</t>
  </si>
  <si>
    <t>1.1b Diversity of indigenous species in the canopy</t>
  </si>
  <si>
    <t>1.1c Diversity of indigenous vascular species in the subcanopy</t>
  </si>
  <si>
    <t>1.2 Ecosystem function</t>
  </si>
  <si>
    <t>1.2a Indigeneity of vegetation</t>
  </si>
  <si>
    <t>1.2b Average canopy height</t>
  </si>
  <si>
    <t>1.2c Basal area – kamahi</t>
  </si>
  <si>
    <t>1.2d Basal area – podocarp species</t>
  </si>
  <si>
    <t>Method:</t>
  </si>
  <si>
    <t>Equal weight to all attributes</t>
  </si>
  <si>
    <t>Higher weight to more precise estimates</t>
  </si>
  <si>
    <t>1. Naïve mean</t>
  </si>
  <si>
    <t>2. Inverse Weighted</t>
  </si>
  <si>
    <t>1.1 Component results</t>
  </si>
  <si>
    <t>1.2 Component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</si>
</sst>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Calibri"/>
      <family val="2"/>
      <charset val="1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2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0" fontId="2" fillId="0" borderId="0" xfId="0" applyFont="1" applyFill="1" applyAlignment="1">
      <alignment horizontal="center" vertical="center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zoomScaleNormal="100" workbookViewId="0">
      <selection activeCell="C2" sqref="C2:J8"/>
    </sheetView>
  </sheetViews>
  <sheetFormatPr defaultColWidth="8.7109375" defaultRowHeight="15" x14ac:dyDescent="0.25"/>
  <cols>
    <col min="1" max="1" width="25" customWidth="1"/>
    <col min="2" max="2" width="50" customWidth="1"/>
    <col min="3" max="3" width="17.7109375" customWidth="1"/>
    <col min="4" max="4" width="14.140625" customWidth="1"/>
    <col min="5" max="5" width="16.140625" customWidth="1"/>
    <col min="6" max="6" width="12" customWidth="1"/>
    <col min="7" max="7" width="16.28515625" customWidth="1"/>
    <col min="8" max="10" width="12" customWidth="1"/>
    <col min="11" max="11" width="40" customWidth="1"/>
  </cols>
  <sheetData>
    <row r="1" spans="1:12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2"/>
    </row>
    <row r="2" spans="1:12" x14ac:dyDescent="0.25">
      <c r="A2" s="2" t="s">
        <v>11</v>
      </c>
      <c r="B2" s="2" t="s">
        <v>12</v>
      </c>
      <c r="C2" s="3">
        <v>-0.16</v>
      </c>
      <c r="D2" s="4">
        <v>0.03</v>
      </c>
      <c r="E2" s="3">
        <v>0.05</v>
      </c>
      <c r="F2" s="4">
        <v>0.22500000000000001</v>
      </c>
      <c r="G2" s="3">
        <f t="shared" ref="G2:G8" si="0">C2+E2</f>
        <v>-0.11</v>
      </c>
      <c r="H2" s="4">
        <f t="shared" ref="H2:H8" si="1">SQRT(D2^2+F2^2)</f>
        <v>0.22699118925632333</v>
      </c>
      <c r="I2" s="5">
        <f t="shared" ref="I2:I8" si="2">H2/(2*1.96)</f>
        <v>5.7905915626613097E-2</v>
      </c>
      <c r="J2" s="3">
        <f>IF(I2=0,0,1/(I2^2))</f>
        <v>298.2319262493935</v>
      </c>
      <c r="K2" s="2"/>
      <c r="L2" s="2"/>
    </row>
    <row r="3" spans="1:12" x14ac:dyDescent="0.25">
      <c r="A3" s="2" t="s">
        <v>11</v>
      </c>
      <c r="B3" s="2" t="s">
        <v>13</v>
      </c>
      <c r="C3" s="3">
        <v>-0.09</v>
      </c>
      <c r="D3" s="4">
        <v>9.5000000000000001E-2</v>
      </c>
      <c r="E3" s="3">
        <v>1.98</v>
      </c>
      <c r="F3" s="4">
        <v>0.625</v>
      </c>
      <c r="G3" s="3">
        <f t="shared" si="0"/>
        <v>1.89</v>
      </c>
      <c r="H3" s="4">
        <f t="shared" si="1"/>
        <v>0.6321787721839448</v>
      </c>
      <c r="I3" s="5">
        <f t="shared" si="2"/>
        <v>0.16127009494488387</v>
      </c>
      <c r="J3" s="3">
        <f t="shared" ref="J3:J8" si="3">IF(I3=0,0,1/(I3^2))</f>
        <v>38.449643438008259</v>
      </c>
      <c r="K3" s="2"/>
      <c r="L3" s="2"/>
    </row>
    <row r="4" spans="1:12" x14ac:dyDescent="0.25">
      <c r="A4" s="2" t="s">
        <v>11</v>
      </c>
      <c r="B4" s="2" t="s">
        <v>14</v>
      </c>
      <c r="C4" s="3">
        <v>-0.33</v>
      </c>
      <c r="D4" s="4">
        <v>0.19</v>
      </c>
      <c r="E4" s="3">
        <v>1.41</v>
      </c>
      <c r="F4" s="4">
        <v>0.69499999999999995</v>
      </c>
      <c r="G4" s="3">
        <f t="shared" si="0"/>
        <v>1.0799999999999998</v>
      </c>
      <c r="H4" s="4">
        <f t="shared" si="1"/>
        <v>0.7205032963144582</v>
      </c>
      <c r="I4" s="5">
        <f t="shared" si="2"/>
        <v>0.18380186130470871</v>
      </c>
      <c r="J4" s="3">
        <f t="shared" si="3"/>
        <v>29.600577895497235</v>
      </c>
      <c r="K4" s="2"/>
      <c r="L4" s="2"/>
    </row>
    <row r="5" spans="1:12" x14ac:dyDescent="0.25">
      <c r="A5" s="2" t="s">
        <v>15</v>
      </c>
      <c r="B5" s="2" t="s">
        <v>16</v>
      </c>
      <c r="C5" s="3">
        <v>-0.51</v>
      </c>
      <c r="D5" s="4">
        <v>0</v>
      </c>
      <c r="E5" s="3">
        <v>0.55000000000000004</v>
      </c>
      <c r="F5" s="4">
        <v>0.56000000000000005</v>
      </c>
      <c r="G5" s="3">
        <f t="shared" si="0"/>
        <v>4.0000000000000036E-2</v>
      </c>
      <c r="H5" s="4">
        <f t="shared" si="1"/>
        <v>0.56000000000000005</v>
      </c>
      <c r="I5" s="5">
        <f t="shared" si="2"/>
        <v>0.14285714285714288</v>
      </c>
      <c r="J5" s="3">
        <f t="shared" si="3"/>
        <v>48.999999999999986</v>
      </c>
      <c r="K5" s="2"/>
      <c r="L5" s="2"/>
    </row>
    <row r="6" spans="1:12" x14ac:dyDescent="0.25">
      <c r="A6" s="2" t="s">
        <v>15</v>
      </c>
      <c r="B6" s="2" t="s">
        <v>17</v>
      </c>
      <c r="C6" s="3">
        <v>-0.11</v>
      </c>
      <c r="D6" s="4">
        <v>0.06</v>
      </c>
      <c r="E6" s="3">
        <v>0.28999999999999998</v>
      </c>
      <c r="F6" s="4">
        <v>0.22</v>
      </c>
      <c r="G6" s="3">
        <f t="shared" si="0"/>
        <v>0.18</v>
      </c>
      <c r="H6" s="4">
        <f t="shared" si="1"/>
        <v>0.22803508501982758</v>
      </c>
      <c r="I6" s="5">
        <f t="shared" si="2"/>
        <v>5.8172215566282548E-2</v>
      </c>
      <c r="J6" s="3">
        <f t="shared" si="3"/>
        <v>295.50769230769231</v>
      </c>
      <c r="K6" s="2"/>
      <c r="L6" s="2"/>
    </row>
    <row r="7" spans="1:12" x14ac:dyDescent="0.25">
      <c r="A7" s="2" t="s">
        <v>15</v>
      </c>
      <c r="B7" s="2" t="s">
        <v>18</v>
      </c>
      <c r="C7" s="3">
        <v>-0.28999999999999998</v>
      </c>
      <c r="D7" s="4">
        <v>0.13500000000000001</v>
      </c>
      <c r="E7" s="3">
        <v>0.03</v>
      </c>
      <c r="F7" s="4">
        <v>2.5000000000000001E-2</v>
      </c>
      <c r="G7" s="3">
        <f t="shared" si="0"/>
        <v>-0.26</v>
      </c>
      <c r="H7" s="4">
        <f t="shared" si="1"/>
        <v>0.1372953021774598</v>
      </c>
      <c r="I7" s="5">
        <f t="shared" si="2"/>
        <v>3.5024311779964235E-2</v>
      </c>
      <c r="J7" s="3">
        <f t="shared" si="3"/>
        <v>815.1936339522548</v>
      </c>
      <c r="K7" s="2"/>
      <c r="L7" s="2"/>
    </row>
    <row r="8" spans="1:12" x14ac:dyDescent="0.25">
      <c r="A8" s="2" t="s">
        <v>15</v>
      </c>
      <c r="B8" s="2" t="s">
        <v>19</v>
      </c>
      <c r="C8" s="3">
        <v>0</v>
      </c>
      <c r="D8" s="4">
        <v>0</v>
      </c>
      <c r="E8" s="3">
        <v>7.0000000000000007E-2</v>
      </c>
      <c r="F8" s="4">
        <v>0.08</v>
      </c>
      <c r="G8" s="3">
        <f t="shared" si="0"/>
        <v>7.0000000000000007E-2</v>
      </c>
      <c r="H8" s="4">
        <f t="shared" si="1"/>
        <v>0.08</v>
      </c>
      <c r="I8" s="5">
        <f t="shared" si="2"/>
        <v>2.0408163265306124E-2</v>
      </c>
      <c r="J8" s="3">
        <f t="shared" si="3"/>
        <v>2400.9999999999995</v>
      </c>
      <c r="K8" s="2"/>
      <c r="L8" s="2"/>
    </row>
    <row r="9" spans="1:1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7" t="s">
        <v>25</v>
      </c>
      <c r="B10" s="1" t="s">
        <v>20</v>
      </c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2" t="s">
        <v>23</v>
      </c>
      <c r="C11" s="2"/>
      <c r="D11" s="2"/>
      <c r="E11" s="2"/>
      <c r="F11" s="2"/>
      <c r="G11" s="3">
        <f>AVERAGE(G2:G4)</f>
        <v>0.95333333333333314</v>
      </c>
      <c r="H11" s="4">
        <f>SQRT(SUMSQ(H2:H4))/COUNT(H2:H4)</f>
        <v>0.32834602344342639</v>
      </c>
      <c r="I11" s="2"/>
      <c r="J11" s="2"/>
      <c r="K11" s="2" t="s">
        <v>21</v>
      </c>
      <c r="L11" s="2"/>
    </row>
    <row r="12" spans="1:12" x14ac:dyDescent="0.25">
      <c r="A12" s="2"/>
      <c r="B12" s="2" t="s">
        <v>24</v>
      </c>
      <c r="C12" s="2"/>
      <c r="D12" s="2"/>
      <c r="E12" s="2"/>
      <c r="F12" s="2"/>
      <c r="G12" s="3">
        <f>IF(SUM(J2:J4)=0, AVERAGE(G2:G4), SUMPRODUCT(J2:J4,G2:G4)/SUM(J2:J4))</f>
        <v>0.19611367578672861</v>
      </c>
      <c r="H12" s="4">
        <f>IF(SUM(J2:J4)=0, 0, 2*1.96*SQRT(1/SUM(J2:J4)))</f>
        <v>0.20482274919695617</v>
      </c>
      <c r="I12" s="2"/>
      <c r="J12" s="2"/>
      <c r="K12" s="2" t="s">
        <v>22</v>
      </c>
      <c r="L12" s="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7" t="s">
        <v>26</v>
      </c>
      <c r="B14" s="1" t="s">
        <v>20</v>
      </c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"/>
      <c r="B15" s="2" t="s">
        <v>23</v>
      </c>
      <c r="C15" s="2"/>
      <c r="D15" s="2"/>
      <c r="E15" s="2"/>
      <c r="F15" s="2"/>
      <c r="G15" s="3">
        <f>AVERAGE(G5:G8)</f>
        <v>7.5000000000000067E-3</v>
      </c>
      <c r="H15" s="4">
        <f>SQRT(SUMSQ(H5:H8))/COUNT(H5:H8)</f>
        <v>0.15629499352186557</v>
      </c>
      <c r="I15" s="2"/>
      <c r="J15" s="2"/>
      <c r="K15" s="2" t="s">
        <v>21</v>
      </c>
      <c r="L15" s="2"/>
    </row>
    <row r="16" spans="1:12" x14ac:dyDescent="0.25">
      <c r="A16" s="2"/>
      <c r="B16" s="2" t="s">
        <v>24</v>
      </c>
      <c r="C16" s="2"/>
      <c r="D16" s="2"/>
      <c r="E16" s="2"/>
      <c r="F16" s="2"/>
      <c r="G16" s="3">
        <f>IF(SUM(J5:J8)=0, AVERAGE(G5:G8), SUMPRODUCT(J5:J8,G5:G8)/SUM(J5:J8))</f>
        <v>3.1653988231686663E-3</v>
      </c>
      <c r="H16" s="4">
        <f>IF(SUM(J5:J8)=0, 0, 2*1.96*SQRT(1/SUM(J5:J8)))</f>
        <v>6.5692878781432235E-2</v>
      </c>
      <c r="I16" s="2"/>
      <c r="J16" s="2"/>
      <c r="K16" s="2" t="s">
        <v>22</v>
      </c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Ollie Gansell</cp:lastModifiedBy>
  <cp:revision>0</cp:revision>
  <dcterms:created xsi:type="dcterms:W3CDTF">2026-04-14T21:49:05Z</dcterms:created>
  <dcterms:modified xsi:type="dcterms:W3CDTF">2026-04-14T23:44:58Z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5ee7273-0db7-44cc-b9e4-a4e4dce5f863_Enabled">
    <vt:lpwstr>true</vt:lpwstr>
  </property>
  <property fmtid="{D5CDD505-2E9C-101B-9397-08002B2CF9AE}" pid="3" name="MSIP_Label_85ee7273-0db7-44cc-b9e4-a4e4dce5f863_SetDate">
    <vt:lpwstr>2026-04-14T22:43:32Z</vt:lpwstr>
  </property>
  <property fmtid="{D5CDD505-2E9C-101B-9397-08002B2CF9AE}" pid="4" name="MSIP_Label_85ee7273-0db7-44cc-b9e4-a4e4dce5f863_Method">
    <vt:lpwstr>Standard</vt:lpwstr>
  </property>
  <property fmtid="{D5CDD505-2E9C-101B-9397-08002B2CF9AE}" pid="5" name="MSIP_Label_85ee7273-0db7-44cc-b9e4-a4e4dce5f863_Name">
    <vt:lpwstr>Unclassified - Information Leadership Session</vt:lpwstr>
  </property>
  <property fmtid="{D5CDD505-2E9C-101B-9397-08002B2CF9AE}" pid="6" name="MSIP_Label_85ee7273-0db7-44cc-b9e4-a4e4dce5f863_SiteId">
    <vt:lpwstr>f0cbb24f-a2f6-498f-b536-6eb9a13a357c</vt:lpwstr>
  </property>
  <property fmtid="{D5CDD505-2E9C-101B-9397-08002B2CF9AE}" pid="7" name="MSIP_Label_85ee7273-0db7-44cc-b9e4-a4e4dce5f863_ActionId">
    <vt:lpwstr>9bf70af3-07d8-4bf2-8ea0-f0257103bbc1</vt:lpwstr>
  </property>
  <property fmtid="{D5CDD505-2E9C-101B-9397-08002B2CF9AE}" pid="8" name="MSIP_Label_85ee7273-0db7-44cc-b9e4-a4e4dce5f863_ContentBits">
    <vt:lpwstr>0</vt:lpwstr>
  </property>
  <property fmtid="{D5CDD505-2E9C-101B-9397-08002B2CF9AE}" pid="9" name="MSIP_Label_85ee7273-0db7-44cc-b9e4-a4e4dce5f863_Tag">
    <vt:lpwstr>10, 3, 0, 1</vt:lpwstr>
  </property>
</Properties>
</file>